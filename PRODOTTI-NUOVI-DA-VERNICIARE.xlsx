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oschinigroup.sharepoint.com/sites/pfi/Cloud/SVENDITA 2026/SVENDITA MAGGIO/"/>
    </mc:Choice>
  </mc:AlternateContent>
  <xr:revisionPtr revIDLastSave="503" documentId="8_{860F2AE3-45CF-45B5-BA7B-C89BF14AC4F7}" xr6:coauthVersionLast="47" xr6:coauthVersionMax="47" xr10:uidLastSave="{3A626F57-C370-4F22-BD9E-FED90EBE90E8}"/>
  <bookViews>
    <workbookView xWindow="-120" yWindow="-120" windowWidth="29040" windowHeight="15720" xr2:uid="{BA868E32-D021-4621-8A79-1FBD002156C7}"/>
  </bookViews>
  <sheets>
    <sheet name="Foglio1" sheetId="1" r:id="rId1"/>
  </sheets>
  <definedNames>
    <definedName name="_xlnm._FilterDatabase" localSheetId="0" hidden="1">Foglio1!$A$1:$D$18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7" i="1" l="1"/>
  <c r="G27" i="1" s="1"/>
  <c r="F26" i="1"/>
  <c r="G26" i="1" s="1"/>
  <c r="F6" i="1"/>
  <c r="G6" i="1" s="1"/>
  <c r="F7" i="1"/>
  <c r="G7" i="1" s="1"/>
  <c r="F4" i="1"/>
  <c r="G4" i="1" s="1"/>
  <c r="F52" i="1"/>
  <c r="G52" i="1" s="1"/>
  <c r="F50" i="1"/>
  <c r="G50"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3" i="1"/>
  <c r="G3" i="1" s="1"/>
  <c r="F5" i="1"/>
  <c r="G5"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1" i="1"/>
  <c r="G51" i="1" s="1"/>
  <c r="F2" i="1"/>
  <c r="G2" i="1" s="1"/>
</calcChain>
</file>

<file path=xl/sharedStrings.xml><?xml version="1.0" encoding="utf-8"?>
<sst xmlns="http://schemas.openxmlformats.org/spreadsheetml/2006/main" count="264" uniqueCount="205">
  <si>
    <t>CAFESTUHL</t>
  </si>
  <si>
    <t>Fusto grezzo Cafe stuhl seduta in legno *** FSC 100% ***</t>
  </si>
  <si>
    <t>Fusto grezzo Cafe stuhl seduta imbottita *** FSC  100% ***</t>
  </si>
  <si>
    <t>LOOP INDIA MAHDAVI</t>
  </si>
  <si>
    <t>Fusto grezzo poltroncina LOOP seduta imbottita</t>
  </si>
  <si>
    <t>Fusto grezzo LOOP DINING seduta imbottita</t>
  </si>
  <si>
    <t>MAJORDOMO</t>
  </si>
  <si>
    <t>Fusto grezzo MAJORDOMO in paglia</t>
  </si>
  <si>
    <t>Fusto grezzo anta MOS cabinet</t>
  </si>
  <si>
    <t>Fusto grezzo consolle MOS 3 ripiani</t>
  </si>
  <si>
    <t>Fusto grezzo side table MOS</t>
  </si>
  <si>
    <t>N.18</t>
  </si>
  <si>
    <t>Fusto grezzo sgabello n.18 seduta legno</t>
  </si>
  <si>
    <t>Fusto grezzo sgabello n.18 seduta da imbottire    rilavorazi</t>
  </si>
  <si>
    <t>N.200</t>
  </si>
  <si>
    <t>Fusto grezzo poltroncina n.200 imbottita</t>
  </si>
  <si>
    <t>N.811</t>
  </si>
  <si>
    <t>//Fusto grezzo poltr. 811 seduta in paglia        CON FUSTO</t>
  </si>
  <si>
    <t>Fusto grezzo poltr. 811 seduta imbottita -        produzione</t>
  </si>
  <si>
    <t>Fusto grezzo sedia 811 seduta in paglia prod.Dever</t>
  </si>
  <si>
    <t>Fusto grezzo sedia 811 seduta imbottita</t>
  </si>
  <si>
    <t>Fusto grezzo sgabello 811 seduta/schienale paglia</t>
  </si>
  <si>
    <t>Fusto grezzo sgabello 811 seduta imbottita schien.paglia</t>
  </si>
  <si>
    <t>PEERS</t>
  </si>
  <si>
    <t>Fusto grezzo base tavolo PEER A</t>
  </si>
  <si>
    <t>Fusto grezzo base tavolo PEER B</t>
  </si>
  <si>
    <t>RADETZKY</t>
  </si>
  <si>
    <t>Fusto grezzo sedia RADETZKY seduta in legno *** FSC 100% ***</t>
  </si>
  <si>
    <t>SOLDEN</t>
  </si>
  <si>
    <t>Fusto grezzo SOLDEN faggio seduta imbottita</t>
  </si>
  <si>
    <t>SUGILOO</t>
  </si>
  <si>
    <t>Fusto grezzo sedia SUGILOO seduta legno senza schienalino **</t>
  </si>
  <si>
    <t>Fusto grezzo sedia SUGILOO seduta imbottita con   schienale</t>
  </si>
  <si>
    <t>TRIO</t>
  </si>
  <si>
    <t>Fusto grezzo sgabello TRIO alto seduta in legno *** FSC 100%</t>
  </si>
  <si>
    <t>Fusto grezzo sgabello TRIO basso seduta in legno *** FSC 100</t>
  </si>
  <si>
    <t>Fusto grezzo sgabello TRIO counter seduta in legno *** FSC 1</t>
  </si>
  <si>
    <t>Fusto grezzo sgabello TRIO counter seduta imbott. *** FSC 10</t>
  </si>
  <si>
    <t>VIENNA 144</t>
  </si>
  <si>
    <t>Fusto grezzo sgabello alto Vienna 144 seduta in legno</t>
  </si>
  <si>
    <t>Fusto grezzo sgabello alto Vienna 144 seduta in paglia</t>
  </si>
  <si>
    <t>Fusto grezzo sgabello alto Vienna 144 seduta imbottita</t>
  </si>
  <si>
    <t>Fusto grezzo sgabello basso Vienna 144 seduta in legno</t>
  </si>
  <si>
    <t>Fusto grezzo sgabello basso Vienna 144 seduta in paglia</t>
  </si>
  <si>
    <t>Fusto grezzo sgabello basso Vienna 144 seduta imbottita</t>
  </si>
  <si>
    <t>YOU CHAIR</t>
  </si>
  <si>
    <t>Fusto grezzo basamento YOU Chair</t>
  </si>
  <si>
    <t xml:space="preserve">Raggruppamento </t>
  </si>
  <si>
    <t>codice</t>
  </si>
  <si>
    <t>descrizione</t>
  </si>
  <si>
    <t>ARCH CLOTHES VALET</t>
  </si>
  <si>
    <t>Fusto grezzo ARCH CLOTHES VALET</t>
  </si>
  <si>
    <t>CZECH</t>
  </si>
  <si>
    <t>Fusto grezzo sedia Czech seduta in legno</t>
  </si>
  <si>
    <t>Fusto grezzo sedia Magistretti seduta in legno</t>
  </si>
  <si>
    <t>Fusto grezzo libreria MOS 4 piani</t>
  </si>
  <si>
    <t>Fusto grezzo poltroncina n.200 paglia</t>
  </si>
  <si>
    <t>Fusto grezzo sgabello 811 seduta/schienale imbottiti</t>
  </si>
  <si>
    <t>Fusto grezzo poltr.SUGILOO sed.imbottita + schienale in mult</t>
  </si>
  <si>
    <t>Fusto grezzo sgabello TRIO alto seduta da imbottire *** FSC</t>
  </si>
  <si>
    <t>Fusto grezzo sgabello TRIO basso seduta da imbottire *** FSC</t>
  </si>
  <si>
    <t>N.14</t>
  </si>
  <si>
    <t>fusto grezzo n.14 seduta legno</t>
  </si>
  <si>
    <t>fusto grezzo n.14 seduta paglia</t>
  </si>
  <si>
    <t>fusto grezzo n.14 seduta imbottita</t>
  </si>
  <si>
    <t>Fusto grezzo sedia Czech seduta imbottita</t>
  </si>
  <si>
    <t>LADDER</t>
  </si>
  <si>
    <t>CML160LGN</t>
  </si>
  <si>
    <t>CML200LGN</t>
  </si>
  <si>
    <t>CML250LGN</t>
  </si>
  <si>
    <t>ladder 160 ral 9005</t>
  </si>
  <si>
    <t>ladder 200 ral 9005</t>
  </si>
  <si>
    <t>ladder 250 ral 9005</t>
  </si>
  <si>
    <t>ladder 160 ral 9010</t>
  </si>
  <si>
    <t xml:space="preserve">ladder 160 naturale </t>
  </si>
  <si>
    <t>ladder 200 ral 9010</t>
  </si>
  <si>
    <t xml:space="preserve">ladder 200 naturale </t>
  </si>
  <si>
    <t>ladder 250 ral 9010</t>
  </si>
  <si>
    <t xml:space="preserve">ladder 250 naturale </t>
  </si>
  <si>
    <t>descrizione per rete vendita</t>
  </si>
  <si>
    <t>prezzo listino</t>
  </si>
  <si>
    <t>prezzo ivato</t>
  </si>
  <si>
    <t>SEDIA SEDUTA LEGNO</t>
  </si>
  <si>
    <t>SEDIA SEDUTA IMBOTTITA</t>
  </si>
  <si>
    <t>Fusto grezzo sedia con braccioli Czech seduta in legno</t>
  </si>
  <si>
    <t>prezzo finale scontato (40%) e ivato (22%)</t>
  </si>
  <si>
    <t>Fusto grezzo panca MOS - senza cuscino</t>
  </si>
  <si>
    <t>CHVALELGN</t>
  </si>
  <si>
    <t>LADDER scaletta decorativa in legno, pensata per organizzare con stile. Perfetta come porta‑salviette o porta‑giornali, aggiunge un tocco essenziale all’ambiente. Non utilizzabile come scala. Disponibile in tre altezze (160 cm, 200 cm, 250 cm)</t>
  </si>
  <si>
    <t>ARCH CLOTHES VALET Servomuto in legno di faggio dal design essenziale ed elegante. Realizzato con finitura liscia e linee armoniose, offre un supporto pratico e raffinato per abiti e accessori. Un complemento discreto e funzionale, ideale per camere da letto, cabine armadio e spazi hospitality.</t>
  </si>
  <si>
    <t>LOOP poltroncina in faggio curvato con seduta e schienale imbottiti. Il caratteristico bracciolo ad anello, realizzato con una raffinata curvatura del legno, ne definisce il design. Lo schienale a rullo è completamente sfoderabile, per un’estetica pulita e una manutenzione semplice. Un pezzo iconico che unisce tecnica, comfort e stile.</t>
  </si>
  <si>
    <t>LOOP sedia dining in faggio curvato dal design essenziale. La seduta imbottita offre comfort, mentre lo schienale in legno valorizza la purezza delle linee. Il caratteristico bracciolo ad anello, realizzato con un’elegante curvatura del legno, aggiunge un segno distintivo di stile e maestria tecnica. Perfetta per ambienti dining moderni e ricercati.</t>
  </si>
  <si>
    <t>Servomuto MAJORDOMO in paglia di Vienna con struttura in legno curvato. Pensato come accessorio funzionale e decorativo, offre un pratico supporto per abiti e accessori, con comoda seduta e ripiano inferiore ideale per riporre le scarpe. Un complemento leggero e raffinato, perfetto per valorizzare l’ingresso, la camera o la cabina armadio.</t>
  </si>
  <si>
    <t>PTLOOPTES</t>
  </si>
  <si>
    <t>PLLOOPTES</t>
  </si>
  <si>
    <t>SDMAGILGN</t>
  </si>
  <si>
    <t>CAMAJOPGL</t>
  </si>
  <si>
    <t>CNMOSAPGC</t>
  </si>
  <si>
    <t>MOS CABINET  in faggio curvato con pannelli laterali e posteriori in paglia di Vienna. Le ante  sono dotate di chiusura magnetica per un’apertura fluida e discreta. I ripiani interni sono impiallacciati in frassino verniciato a poro aperto. Disponibile con puntali in legno o in ottone, è un elemento d’arredo raffinato che unisce artigianalità e funzionalità.</t>
  </si>
  <si>
    <t>MOS CONSOLE  in faggio curvato con pannelli laterali e posteriori in paglia di Vienna. I ripiani interni sono impiallacciati in frassino verniciato a poro aperto. Disponibile con puntali in legno o in ottone, è un elemento d’arredo raffinato che unisce artigianalità e funzionalità.</t>
  </si>
  <si>
    <t>CNMOSGPGC</t>
  </si>
  <si>
    <t>Libreria MOS freestanding in faggio curvato con inserti laterali in paglia di Vienna. I ripiani, in frassino impiallacciato e verniciato a poro aperto, offrono leggerezza visiva e solidità. Disponibile con puntali in legno o in ottone. Complemento raffinato che unisce artigianalità e design contemporaneo.</t>
  </si>
  <si>
    <t>LBMOSGPGL</t>
  </si>
  <si>
    <t>PCMOSGTEP</t>
  </si>
  <si>
    <t>TBMOSGLGP</t>
  </si>
  <si>
    <t>SDN014LGN</t>
  </si>
  <si>
    <t>SDN014PGL</t>
  </si>
  <si>
    <t>SDN014TES</t>
  </si>
  <si>
    <t>SDN018LGN</t>
  </si>
  <si>
    <t>SDN018TES</t>
  </si>
  <si>
    <t>SAN018LGN</t>
  </si>
  <si>
    <t>SAN018TES</t>
  </si>
  <si>
    <t>PLN200PGL</t>
  </si>
  <si>
    <t>Poltrona lounge N.200 in faggio curvato con seduta e schienale in paglia di Vienna. Le proporzioni generose e il design essenziale creano un’estetica elegante e minimal, mentre la lavorazione artigianale del legno curvato conferisce leggerezza e raffinatezza. Un’icona contemporanea pensata per spazi living, lounge e ambienti contract.</t>
  </si>
  <si>
    <t>Poltrona lounge N.200 in faggio curvato con seduta e schienale imbottiti. Le proporzioni generose e il design essenziale creano un’estetica elegante e minimal, mentre la lavorazione artigianale del legno curvato conferisce leggerezza e raffinatezza. Un complemento contemporaneo e confortevole, ideale per spazi living, lounge e ambienti contract.</t>
  </si>
  <si>
    <t>PLN200TES</t>
  </si>
  <si>
    <t>PT0811PGL</t>
  </si>
  <si>
    <t>Sedia con braccioli N.811 in faggio curvato con seduta e schienale in paglia di Vienna. Un’icona del design, riconoscibile per le sue linee essenziali e la raffinata lavorazione del legno curvato. Leggera, resistente e senza tempo, è ideale per ambienti dining, contract e spazi contemporanei che valorizzano l’artigianalità. L’ampio schienale in paglia di Vienna offre comfort ed ergonomia, mantenendo un’estetica elegante e ariosa.</t>
  </si>
  <si>
    <t>PT0811TES</t>
  </si>
  <si>
    <t>Sedia con braccioli N.811 in faggio curvato con seduta imbottita e schienale in paglia di Vienna. Un’icona del design, riconoscibile per le sue linee essenziali e la raffinata lavorazione del legno curvato. Leggera, resistente e senza tempo, è ideale per ambienti dining, contract e spazi contemporanei che valorizzano l’artigianalità. L’ampio schienale in paglia di Vienna garantisce comfort ed ergonomia, mantenendo un’estetica elegante e ariosa.</t>
  </si>
  <si>
    <t>SD0811PGL</t>
  </si>
  <si>
    <t>Sedia N.811 in faggio curvato con seduta e schienale in paglia di Vienna. Un’icona del design, riconoscibile per le sue linee essenziali e la raffinata lavorazione del legno curvato. Leggera, resistente e senza tempo, è ideale per ambienti dining, contract e spazi contemporanei che valorizzano l’artigianalità. L’ampio schienale in paglia di Vienna offre comfort ed ergonomia, mantenendo un’estetica elegante e ariosa.</t>
  </si>
  <si>
    <t>SD0811TES</t>
  </si>
  <si>
    <t>Sedia N.811 in faggio curvato con seduta imbottita e schienale in paglia di Vienna. Un’icona del design, riconoscibile per le sue linee essenziali e la raffinata lavorazione del legno curvato. Leggera, resistente e senza tempo, è ideale per ambienti dining, contract e spazi contemporanei che valorizzano l’artigianalità. L’ampio schienale in paglia di Vienna garantisce comfort ed ergonomia, mantenendo un’estetica elegante e ariosa.</t>
  </si>
  <si>
    <t>SA0811PGL</t>
  </si>
  <si>
    <t>Sgabello N.811 in faggio curvato con seduta e schienale in paglia di Vienna. Un’icona del design, riconoscibile per le sue linee essenziali e la raffinata lavorazione del legno curvato. Leggero, resistente e senza tempo, è ideale per cucine, bar, ristoranti e spazi contemporanei che valorizzano l’artigianalità. L’ampio schienale in paglia di Vienna garantisce comfort ed ergonomia, mantenendo un’estetica elegante e ariosa.</t>
  </si>
  <si>
    <t>SA0811TES</t>
  </si>
  <si>
    <t>Sgabello N.811 in faggio curvato con seduta imbottita e schienale in paglia di Vienna. Un’icona del design, riconoscibile per le sue linee essenziali e la raffinata lavorazione del legno curvato. Leggero, resistente e senza tempo, è ideale per cucine, bar, ristoranti e spazi contemporanei che valorizzano l’artigianalità. L’ampio schienale in paglia di Vienna garantisce comfort ed ergonomia, mantenendo un’estetica elegante e ariosa.</t>
  </si>
  <si>
    <t>SA0811TE2</t>
  </si>
  <si>
    <t>Sgabello N.811 in faggio curvato con seduta e schienale imbottiti. Un’icona del design, riconoscibile per le sue linee essenziali e la raffinata lavorazione del legno curvato. Leggero, resistente e senza tempo, è ideale per cucine, bar, ristoranti e spazi contemporanei che valorizzano l’artigianalità. L’ampio schienale imbottito garantisce comfort ed ergonomia, mantenendo un’estetica elegante e armoniosa.</t>
  </si>
  <si>
    <t>Tavolino PEER A in faggio curvato con piano in laminato. La forma irregolare dona dinamismo e leggerezza, rendendolo un complemento versatile e contemporaneo. Perfetto da solo come punto d’appoggio, trova la sua massima espressione quando accostato al secondo tavolino della stessa serie, creando un insieme armonioso e funzionale.</t>
  </si>
  <si>
    <t>Tavolino PEER B in faggio curvato con piano in laminato. La forma irregolare dona dinamismo e leggerezza, rendendolo un complemento versatile e contemporaneo. Perfetto da solo come punto d’appoggio, trova la sua massima espressione quando accostato al secondo tavolino della stessa serie, creando un insieme armonioso e funzionale.</t>
  </si>
  <si>
    <t>TVPEEALGN</t>
  </si>
  <si>
    <t>TVPEEBLGN</t>
  </si>
  <si>
    <t>SDRADELGN</t>
  </si>
  <si>
    <t>SDSOLDTES</t>
  </si>
  <si>
    <t>SDSUGILGN</t>
  </si>
  <si>
    <t>Fusto grezzo poltr SUGILOO seduta legno senza schienalino **</t>
  </si>
  <si>
    <t>Sedia RADETZKY  con struttura in faggio massello e elementi in legno curvato che uniscono con continuità gambe posteriori e schienale. Il profilo alterna linee morbide e tratti netti, mentre la seduta in multistrato completa un design essenziale e contemporaneo.</t>
  </si>
  <si>
    <t>Sedia SOLDEN in faggio curvato con seduta imbottita e schienale in paglia di Vienna. Un design essenziale e raffinato che unisce leggerezza, comfort ed estetica contemporanea, valorizzando la tradizione del legno curvato.</t>
  </si>
  <si>
    <t>Sedia SUGILOO in faggio curvato con seduta in multistrato. Il design è ridotto all’essenza: lo schienale è definito da un semplice elemento in legno curvato, che conferisce leggerezza visiva e un carattere contemporaneo. Una seduta minimale e raffinata, ideale per ambienti moderni e spazi contract.</t>
  </si>
  <si>
    <t>PTSUGITE2</t>
  </si>
  <si>
    <t>Sedia con braccioli SUGILOO in faggio curvato con seduta imbottita. Il design minimale è definito da uno schienale essenziale in faggio curvato, che dona leggerezza e un carattere contemporaneo. Perfetta per ambienti moderni e spazi contract.</t>
  </si>
  <si>
    <t>Sedia con braccioli SUGILOO con struttura in faggio curvato e seduta in multistrato. Il design minimale, definito da un unico profilo tubolare in legno che forma gambe, braccioli e schienale, crea un’estetica contemporanea e leggera. Una seduta essenziale e versatile, ideale per ambienti moderni e spazi contract.</t>
  </si>
  <si>
    <t>PTSUGILGN</t>
  </si>
  <si>
    <t>Sedia SUGILOO in faggio curvato con seduta imbottita. Il design minimale è definito da uno schienale in un’unica curva continua, che conferisce leggerezza visiva e un carattere contemporaneo. Una seduta essenziale e versatile, ideale per ambienti moderni e spazi contract.</t>
  </si>
  <si>
    <t>SDSUGITE2</t>
  </si>
  <si>
    <t>SATRIOLGN</t>
  </si>
  <si>
    <t>SATRIOTES</t>
  </si>
  <si>
    <t>SBTRIOLGN</t>
  </si>
  <si>
    <t>SBTRIOTES</t>
  </si>
  <si>
    <t>SMTRIOLGN</t>
  </si>
  <si>
    <t>SMTRIOTES</t>
  </si>
  <si>
    <t>Sgabello TRIO in faggio curvato con seduta in multistrato. Il design minimale, definito da una struttura slanciata e da elementi curvati essenziali, crea un’estetica contemporanea e leggera. Una soluzione versatile e funzionale, ideale per cucine, bar e spazi contract.Disponibile in due altezze, 77 cm o 65 cm</t>
  </si>
  <si>
    <t>Sgabello TRIO in faggio curvato con seduta imbottita. Il design minimale e slanciato, definito da linee essenziali e da una struttura leggera, crea un’estetica contemporanea e versatile. Perfetto per cucine, bar e spazi contract. Disponibile in due altezze, 77 cm o 65 cm</t>
  </si>
  <si>
    <t>Sgabello TRIO basso in faggio curvato con seduta in legno. Il design minimale e leggero lo rende un complemento versatile, perfetto come seduta informale, comodino, tavolino d’appoggio o elemento decorativo in ambienti moderni e contract.</t>
  </si>
  <si>
    <t>Sgabello TRIO basso in faggio curvato con seduta imbottita. Il design minimale e leggero lo rende un complemento versatile, perfetto come seduta informale, comodino, tavolino d’appoggio o elemento decorativo in ambienti moderni e contract.</t>
  </si>
  <si>
    <t>SAV144LGN</t>
  </si>
  <si>
    <t>SAV144PGL</t>
  </si>
  <si>
    <t>SAV144TES</t>
  </si>
  <si>
    <t>SBV144TES</t>
  </si>
  <si>
    <t>SBV144LGN</t>
  </si>
  <si>
    <t>SBV144PGL</t>
  </si>
  <si>
    <t>Sgabello basso VIENNA 144 in faggio curvato con seduta in legno. Linee essenziali e struttura compatta per un elemento multifunzione perfetto come comodino, tavolino o punto d’appoggio in ambienti moderni e contract.</t>
  </si>
  <si>
    <t>Sgabello basso VIENNA 144 in faggio curvato con seduta in paglia di Vienna. Il design minimale e leggero lo rende un complemento versatile, ideale come seduta informale, comodino o piccolo tavolino d’appoggio.</t>
  </si>
  <si>
    <t>Sgabello basso VIENNA 144 in faggio curvato con seduta imbottita. Un design semplice e contemporaneo che unisce comfort e versatilità, ideale come seduta aggiuntiva, comodino o tavolino d’appoggio.</t>
  </si>
  <si>
    <t>Sgabello alto VIENNA 144 in faggio curvato con seduta in legno. Il profilo minimale e la struttura stabile lo rendono un complemento versatile e funzionale per banconi domestici e ambienti professionali.</t>
  </si>
  <si>
    <t>Sgabello alto VIENNA 144 in faggio curvato con seduta in paglia di Vienna. Il profilo minimale e la struttura stabile lo rendono un complemento versatile e funzionale per banconi domestici e ambienti professionali.</t>
  </si>
  <si>
    <t>Sgabello alto VIENNA 144 in faggio curvato con seduta imbottita. Il profilo minimale e la struttura stabile lo rendono un complemento versatile e funzionale per banconi domestici e ambienti professionali.</t>
  </si>
  <si>
    <t>SDYOUCLGN</t>
  </si>
  <si>
    <t>Sedia YOU impilabile con struttura in faggio curvato, caratterizzata da un arco in legno massello che collega le gambe e funge da supporto all’impilabilità. Il design essenziale e leggero garantisce praticità, stabilità e una presenza contemporanea ideale per ambienti dining e contract.</t>
  </si>
  <si>
    <t>Sedia N.14 in faggio curvato con seduta imbottita. Un’icona del design, riconoscibile per le sue linee essenziali e la raffinata lavorazione del legno curvato. Leggera, resistente e senza tempo, è perfetta per ambienti dining, contract e spazi contemporanei che valorizzano l’artigianalità.</t>
  </si>
  <si>
    <t>Sedia N.14 in faggio curvato con seduta in multistrato. Un’icona del design, riconoscibile per le sue linee essenziali e la raffinata lavorazione del legno curvato. Leggera, resistente e senza tempo, è perfetta per ambienti dining, contract e spazi contemporanei che valorizzano l’artigianalità.</t>
  </si>
  <si>
    <t>Sedia N.18 in faggio curvato con seduta imbottita. Un’icona del design, riconoscibile per le sue linee essenziali e la raffinata lavorazione del legno curvato. Leggera, resistente e senza tempo, è perfetta per ambienti dining, contract e spazi contemporanei che valorizzano l’artigianalità.</t>
  </si>
  <si>
    <t>Sgabello da bar N.18 in faggio curvato con seduta in multistrato. Un’icona del design senza tempo, caratterizzata da linee essenziali e dalla raffinata lavorazione del legno curvato. Solido, leggero e versatile, è ideale per cucine, bar e spazi contract che valorizzano l’artigianalità.</t>
  </si>
  <si>
    <t>Sedia N.14 in faggio curvato con seduta in paglia di Vienna. Un’icona del design, riconoscibile per le sue linee essenziali e la raffinata lavorazione del legno curvato. Leggera, resistente e senza tempo, è perfetta per ambienti dining, contract e spazi contemporanei che valorizzano l’artigianalità.</t>
  </si>
  <si>
    <t>Tavolino MOS in faggio curvato con inserti in paglia di Vienna. I ripiani, in frassino impiallacciato e verniciato a poro aperto, offrono leggerezza e funzionalità. Disponibile con puntali in legno o in ottone, è un complemento versatile che si adatta perfettamente sia come tavolino da appoggio sia come comodino dal carattere raffinato.</t>
  </si>
  <si>
    <t>Sgabello da bar N.18 in faggio curvato con seduta imbottito. Un’icona del design senza tempo, caratterizzata da linee essenziali e dalla raffinata lavorazione del legno curvato. Solido, leggero e versatile, è ideale per cucine, bar e spazi contract che valorizzano l’artigianalità.</t>
  </si>
  <si>
    <t>SDCAFELGN</t>
  </si>
  <si>
    <t>SDCAFELTES</t>
  </si>
  <si>
    <t>Sedia CAFESTUHL in faggio curvato con seduta in multistrato e schienale sagomato. Le linee morbide e la struttura leggera definiscono un design essenziale e contemporaneo, ideale per ambienti dining e progetti contract.</t>
  </si>
  <si>
    <t>Sedia CAFESTUHL in faggio curvato con seduta imbottita e schienale sagomato. Le linee morbide e la struttura leggera definiscono un design essenziale e contemporaneo, ideale per ambienti dining e progetti contract.</t>
  </si>
  <si>
    <t>SDCZECLGN</t>
  </si>
  <si>
    <t>SDCZECTES</t>
  </si>
  <si>
    <t>PTCZECLGN</t>
  </si>
  <si>
    <t>PTCZECTES</t>
  </si>
  <si>
    <t>Sedia CZECH in faggio curvato con seduta sagomataimbottita e schienale avvolgente. Le linee morbide e il profilo essenziale definiscono un design contemporaneo e versatile, ideale per ambienti dining e progetti contract.</t>
  </si>
  <si>
    <t>Sedia CZECH in faggio curvato con seduta sagomata in multistrato e schienale avvolgente. Le linee morbide e il profilo essenziale definiscono un design contemporaneo e versatile, ideale per ambienti dining e progetti contract.</t>
  </si>
  <si>
    <t>Sedia CZECH in faggio curvato con seduta sagomata in multistrato e braccioli integrati. La curva continua della struttura crea un’estetica fluida e confortevole, perfetta per spazi dining eleganti e contesti contract.</t>
  </si>
  <si>
    <t>Sedia CZECH in faggio curvato con seduta sagomata imbottita e braccioli integrati. La curva continua della struttura crea un’estetica fluida e confortevole, perfetta per spazi dining eleganti e contesti contract.</t>
  </si>
  <si>
    <t>Poltroncina MAGISTRETTI 0301 in faggio curvato con seduta sospesa e schienale avvolgente. Le linee fluide e la struttura continua definiscono un’icona del design contemporaneo, essenziale e raffinata, ideale per ambienti moderni e progetti contract.</t>
  </si>
  <si>
    <t>MAGISTRETTI 0301</t>
  </si>
  <si>
    <t>MAX PRODOTTI 1 SCATOLA</t>
  </si>
  <si>
    <t>MOS CABINET</t>
  </si>
  <si>
    <t>MOS BOOKCASE</t>
  </si>
  <si>
    <t>MOS CONSOLE</t>
  </si>
  <si>
    <t>MOS SIDE TABLE</t>
  </si>
  <si>
    <t>Panca in faggio curvato con inserti in paglia di Vienna, senza cuscino. I ripiani, in frassino impiallacciato e verniciato a poro aperto, offrono praticità e leggerezza visiva. Disponibile con puntali in legno o in ottone, è un complemento versatile e raffinato, ideale per ingresso, zona notte o living.</t>
  </si>
  <si>
    <t>MOS BENCH (senza cuscino)</t>
  </si>
  <si>
    <t>MOS BENCH (con cuscino corto)</t>
  </si>
  <si>
    <t>MOS BENCH (con cuscino lungo)</t>
  </si>
  <si>
    <t>Panca in faggio curvato con inserti in paglia di Vienna e cuscino a mezza seduta, sfoderabile. I ripiani, in frassino impiallacciato e verniciato a poro aperto, offrono praticità e leggerezza visiva. Disponibile con puntali in legno o in ottone, è un complemento versatile e raffinato, ideale per ingresso, zona notte o living.</t>
  </si>
  <si>
    <t>Fusto grezzo panca MOS - cuscino corto</t>
  </si>
  <si>
    <t>Fusto grezzo panca MOS -  cuscino lungo</t>
  </si>
  <si>
    <t>Panca in faggio curvato con inserti in paglia di Vienna e cuscino di seduta lungo, sfoderabile. I ripiani, in frassino impiallacciato e verniciato a poro aperto, offrono praticità e leggerezza visiva. Disponibile con puntali in legno o in ottone, è un complemento versatile e raffinato, ideale per ingresso, zona notte o living.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</si>
</sst>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 x14ac:knownFonts="1">
    <font>
      <sz val="11"/>
      <color theme="1"/>
      <name val="Aptos Narrow"/>
      <family val="2"/>
      <scheme val="minor"/>
    </font>
    <font>
      <sz val="11"/>
      <color theme="1"/>
      <name val="Aptos Narrow"/>
      <family val="2"/>
      <scheme val="minor"/>
    </font>
    <font>
      <b/>
      <sz val="11"/>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0" fillId="0" borderId="0" xfId="0" applyAlignment="1">
      <alignment vertical="center" wrapText="1"/>
    </xf>
    <xf numFmtId="44" fontId="0" fillId="0" borderId="0" xfId="1" applyFont="1" applyAlignment="1">
      <alignment vertical="center" wrapText="1"/>
    </xf>
    <xf numFmtId="0" fontId="2" fillId="2" borderId="0" xfId="0" applyFont="1" applyFill="1" applyAlignment="1">
      <alignment vertical="center" wrapText="1"/>
    </xf>
    <xf numFmtId="44" fontId="2" fillId="2" borderId="0" xfId="1" applyFont="1" applyFill="1" applyAlignment="1">
      <alignment vertical="center" wrapText="1"/>
    </xf>
    <xf numFmtId="44" fontId="2" fillId="3" borderId="0" xfId="1" applyFont="1" applyFill="1" applyAlignment="1">
      <alignment vertical="center" wrapText="1"/>
    </xf>
    <xf numFmtId="0" fontId="2" fillId="3" borderId="0" xfId="0" applyFont="1" applyFill="1" applyAlignment="1">
      <alignment vertical="center" wrapText="1"/>
    </xf>
    <xf numFmtId="44" fontId="2" fillId="3" borderId="0" xfId="1" applyFont="1" applyFill="1" applyAlignment="1">
      <alignment horizontal="center" vertical="center" wrapText="1"/>
    </xf>
    <xf numFmtId="0" fontId="0" fillId="0" borderId="0" xfId="0" applyAlignment="1">
      <alignment horizontal="center" vertical="center" wrapText="1"/>
    </xf>
  </cellXfs>
  <cellStyles count="2">
    <cellStyle name="Normale" xfId="0" builtinId="0"/>
    <cellStyle name="Valuta"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10" Type="http://schemas.openxmlformats.org/officeDocument/2006/relationships/customXml" Target="../customXml/item4.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C79F-3D69-4D91-A534-7838FED289C9}">
  <dimension ref="A1:H65"/>
  <sheetViews>
    <sheetView tabSelected="1" topLeftCell="A21" zoomScale="60" workbookViewId="0">
      <selection activeCell="C27" sqref="C27"/>
    </sheetView>
  </sheetViews>
  <sheetFormatPr defaultColWidth="9.140625" defaultRowHeight="15" x14ac:dyDescent="0.25"/>
  <cols>
    <col min="1" max="1" width="20.140625" style="1" bestFit="1" customWidth="1"/>
    <col min="2" max="2" width="25.85546875" style="1" customWidth="1"/>
    <col min="3" max="3" width="54.85546875" style="1" customWidth="1"/>
    <col min="4" max="4" width="46" style="1" customWidth="1"/>
    <col min="5" max="5" width="18.42578125" style="2" bestFit="1" customWidth="1"/>
    <col min="6" max="6" width="22.7109375" style="2" customWidth="1"/>
    <col min="7" max="7" width="39.140625" style="2" bestFit="1" customWidth="1"/>
    <col min="8" max="8" width="23.85546875" style="8" customWidth="1"/>
    <col min="9" max="16384" width="9.140625" style="1"/>
  </cols>
  <sheetData>
    <row r="1" spans="1:8" ht="30" x14ac:dyDescent="0.25">
      <c r="A1" s="6" t="s">
        <v>47</v>
      </c>
      <c r="B1" s="6" t="s">
        <v>48</v>
      </c>
      <c r="C1" s="3" t="s">
        <v>49</v>
      </c>
      <c r="D1" s="6" t="s">
        <v>79</v>
      </c>
      <c r="E1" s="4" t="s">
        <v>80</v>
      </c>
      <c r="F1" s="5" t="s">
        <v>81</v>
      </c>
      <c r="G1" s="5" t="s">
        <v>85</v>
      </c>
      <c r="H1" s="7" t="s">
        <v>192</v>
      </c>
    </row>
    <row r="2" spans="1:8" ht="105" x14ac:dyDescent="0.25">
      <c r="A2" s="1" t="s">
        <v>50</v>
      </c>
      <c r="B2" s="1" t="s">
        <v>87</v>
      </c>
      <c r="C2" s="1" t="s">
        <v>51</v>
      </c>
      <c r="D2" s="1" t="s">
        <v>89</v>
      </c>
      <c r="E2" s="2">
        <v>695</v>
      </c>
      <c r="F2" s="2">
        <f>E2*1.22</f>
        <v>847.9</v>
      </c>
      <c r="G2" s="2">
        <f>F2*0.6</f>
        <v>508.73999999999995</v>
      </c>
      <c r="H2" s="8">
        <v>1</v>
      </c>
    </row>
    <row r="3" spans="1:8" ht="75" x14ac:dyDescent="0.25">
      <c r="A3" s="1" t="s">
        <v>0</v>
      </c>
      <c r="B3" s="1" t="s">
        <v>178</v>
      </c>
      <c r="C3" s="1" t="s">
        <v>1</v>
      </c>
      <c r="D3" s="1" t="s">
        <v>180</v>
      </c>
      <c r="E3" s="2">
        <v>575</v>
      </c>
      <c r="F3" s="2">
        <f t="shared" ref="F3:F65" si="0">E3*1.22</f>
        <v>701.5</v>
      </c>
      <c r="G3" s="2">
        <f t="shared" ref="G3:G65" si="1">F3*0.6</f>
        <v>420.9</v>
      </c>
      <c r="H3" s="8">
        <v>2</v>
      </c>
    </row>
    <row r="4" spans="1:8" ht="75" x14ac:dyDescent="0.25">
      <c r="A4" s="1" t="s">
        <v>0</v>
      </c>
      <c r="B4" s="1" t="s">
        <v>179</v>
      </c>
      <c r="C4" s="1" t="s">
        <v>2</v>
      </c>
      <c r="D4" s="1" t="s">
        <v>181</v>
      </c>
      <c r="E4" s="2">
        <v>670</v>
      </c>
      <c r="F4" s="2">
        <f>E4*1.22</f>
        <v>817.4</v>
      </c>
      <c r="G4" s="2">
        <f t="shared" si="1"/>
        <v>490.43999999999994</v>
      </c>
      <c r="H4" s="8">
        <v>2</v>
      </c>
    </row>
    <row r="5" spans="1:8" ht="75" x14ac:dyDescent="0.25">
      <c r="A5" s="1" t="s">
        <v>52</v>
      </c>
      <c r="B5" s="1" t="s">
        <v>182</v>
      </c>
      <c r="C5" s="1" t="s">
        <v>53</v>
      </c>
      <c r="D5" s="1" t="s">
        <v>187</v>
      </c>
      <c r="E5" s="2">
        <v>557</v>
      </c>
      <c r="F5" s="2">
        <f t="shared" si="0"/>
        <v>679.54</v>
      </c>
      <c r="G5" s="2">
        <f t="shared" si="1"/>
        <v>407.72399999999999</v>
      </c>
      <c r="H5" s="8">
        <v>2</v>
      </c>
    </row>
    <row r="6" spans="1:8" ht="75" x14ac:dyDescent="0.25">
      <c r="A6" s="1" t="s">
        <v>52</v>
      </c>
      <c r="B6" s="1" t="s">
        <v>183</v>
      </c>
      <c r="C6" s="1" t="s">
        <v>65</v>
      </c>
      <c r="D6" s="1" t="s">
        <v>186</v>
      </c>
      <c r="E6" s="2">
        <v>660</v>
      </c>
      <c r="F6" s="2">
        <f t="shared" si="0"/>
        <v>805.19999999999993</v>
      </c>
      <c r="G6" s="2">
        <f t="shared" si="1"/>
        <v>483.11999999999995</v>
      </c>
      <c r="H6" s="8">
        <v>2</v>
      </c>
    </row>
    <row r="7" spans="1:8" ht="75" x14ac:dyDescent="0.25">
      <c r="A7" s="1" t="s">
        <v>52</v>
      </c>
      <c r="B7" s="1" t="s">
        <v>184</v>
      </c>
      <c r="C7" s="1" t="s">
        <v>84</v>
      </c>
      <c r="D7" s="1" t="s">
        <v>188</v>
      </c>
      <c r="E7" s="2">
        <v>780</v>
      </c>
      <c r="F7" s="2">
        <f t="shared" si="0"/>
        <v>951.6</v>
      </c>
      <c r="G7" s="2">
        <f t="shared" si="1"/>
        <v>570.96</v>
      </c>
      <c r="H7" s="8">
        <v>1</v>
      </c>
    </row>
    <row r="8" spans="1:8" ht="75" x14ac:dyDescent="0.25">
      <c r="A8" s="1" t="s">
        <v>52</v>
      </c>
      <c r="B8" s="1" t="s">
        <v>185</v>
      </c>
      <c r="C8" s="1" t="s">
        <v>65</v>
      </c>
      <c r="D8" s="1" t="s">
        <v>189</v>
      </c>
      <c r="E8" s="2">
        <v>877</v>
      </c>
      <c r="F8" s="2">
        <f t="shared" si="0"/>
        <v>1069.94</v>
      </c>
      <c r="G8" s="2">
        <f t="shared" si="1"/>
        <v>641.96400000000006</v>
      </c>
      <c r="H8" s="8">
        <v>1</v>
      </c>
    </row>
    <row r="9" spans="1:8" ht="90" x14ac:dyDescent="0.25">
      <c r="A9" s="1" t="s">
        <v>66</v>
      </c>
      <c r="B9" s="1" t="s">
        <v>67</v>
      </c>
      <c r="C9" s="1" t="s">
        <v>70</v>
      </c>
      <c r="D9" s="1" t="s">
        <v>88</v>
      </c>
      <c r="E9" s="2">
        <v>547</v>
      </c>
      <c r="F9" s="2">
        <f t="shared" si="0"/>
        <v>667.34</v>
      </c>
      <c r="G9" s="2">
        <f t="shared" si="1"/>
        <v>400.404</v>
      </c>
      <c r="H9" s="8">
        <v>1</v>
      </c>
    </row>
    <row r="10" spans="1:8" ht="90" x14ac:dyDescent="0.25">
      <c r="A10" s="1" t="s">
        <v>66</v>
      </c>
      <c r="B10" s="1" t="s">
        <v>67</v>
      </c>
      <c r="C10" s="1" t="s">
        <v>73</v>
      </c>
      <c r="D10" s="1" t="s">
        <v>88</v>
      </c>
      <c r="E10" s="2">
        <v>547</v>
      </c>
      <c r="F10" s="2">
        <f t="shared" si="0"/>
        <v>667.34</v>
      </c>
      <c r="G10" s="2">
        <f t="shared" si="1"/>
        <v>400.404</v>
      </c>
      <c r="H10" s="8">
        <v>1</v>
      </c>
    </row>
    <row r="11" spans="1:8" ht="90" x14ac:dyDescent="0.25">
      <c r="A11" s="1" t="s">
        <v>66</v>
      </c>
      <c r="B11" s="1" t="s">
        <v>67</v>
      </c>
      <c r="C11" s="1" t="s">
        <v>74</v>
      </c>
      <c r="D11" s="1" t="s">
        <v>88</v>
      </c>
      <c r="E11" s="2">
        <v>547</v>
      </c>
      <c r="F11" s="2">
        <f t="shared" si="0"/>
        <v>667.34</v>
      </c>
      <c r="G11" s="2">
        <f t="shared" si="1"/>
        <v>400.404</v>
      </c>
      <c r="H11" s="8">
        <v>1</v>
      </c>
    </row>
    <row r="12" spans="1:8" ht="90" x14ac:dyDescent="0.25">
      <c r="A12" s="1" t="s">
        <v>66</v>
      </c>
      <c r="B12" s="1" t="s">
        <v>68</v>
      </c>
      <c r="C12" s="1" t="s">
        <v>71</v>
      </c>
      <c r="D12" s="1" t="s">
        <v>88</v>
      </c>
      <c r="E12" s="2">
        <v>648</v>
      </c>
      <c r="F12" s="2">
        <f t="shared" si="0"/>
        <v>790.56</v>
      </c>
      <c r="G12" s="2">
        <f t="shared" si="1"/>
        <v>474.33599999999996</v>
      </c>
      <c r="H12" s="8">
        <v>1</v>
      </c>
    </row>
    <row r="13" spans="1:8" ht="90" x14ac:dyDescent="0.25">
      <c r="A13" s="1" t="s">
        <v>66</v>
      </c>
      <c r="B13" s="1" t="s">
        <v>68</v>
      </c>
      <c r="C13" s="1" t="s">
        <v>75</v>
      </c>
      <c r="D13" s="1" t="s">
        <v>88</v>
      </c>
      <c r="E13" s="2">
        <v>648</v>
      </c>
      <c r="F13" s="2">
        <f t="shared" si="0"/>
        <v>790.56</v>
      </c>
      <c r="G13" s="2">
        <f t="shared" si="1"/>
        <v>474.33599999999996</v>
      </c>
      <c r="H13" s="8">
        <v>1</v>
      </c>
    </row>
    <row r="14" spans="1:8" ht="90" x14ac:dyDescent="0.25">
      <c r="A14" s="1" t="s">
        <v>66</v>
      </c>
      <c r="B14" s="1" t="s">
        <v>68</v>
      </c>
      <c r="C14" s="1" t="s">
        <v>76</v>
      </c>
      <c r="D14" s="1" t="s">
        <v>88</v>
      </c>
      <c r="E14" s="2">
        <v>648</v>
      </c>
      <c r="F14" s="2">
        <f t="shared" si="0"/>
        <v>790.56</v>
      </c>
      <c r="G14" s="2">
        <f t="shared" si="1"/>
        <v>474.33599999999996</v>
      </c>
      <c r="H14" s="8">
        <v>1</v>
      </c>
    </row>
    <row r="15" spans="1:8" ht="90" x14ac:dyDescent="0.25">
      <c r="A15" s="1" t="s">
        <v>66</v>
      </c>
      <c r="B15" s="1" t="s">
        <v>69</v>
      </c>
      <c r="C15" s="1" t="s">
        <v>72</v>
      </c>
      <c r="D15" s="1" t="s">
        <v>88</v>
      </c>
      <c r="E15" s="2">
        <v>776</v>
      </c>
      <c r="F15" s="2">
        <f t="shared" si="0"/>
        <v>946.72</v>
      </c>
      <c r="G15" s="2">
        <f t="shared" si="1"/>
        <v>568.03200000000004</v>
      </c>
      <c r="H15" s="8">
        <v>1</v>
      </c>
    </row>
    <row r="16" spans="1:8" ht="90" x14ac:dyDescent="0.25">
      <c r="A16" s="1" t="s">
        <v>66</v>
      </c>
      <c r="B16" s="1" t="s">
        <v>69</v>
      </c>
      <c r="C16" s="1" t="s">
        <v>77</v>
      </c>
      <c r="D16" s="1" t="s">
        <v>88</v>
      </c>
      <c r="E16" s="2">
        <v>776</v>
      </c>
      <c r="F16" s="2">
        <f t="shared" si="0"/>
        <v>946.72</v>
      </c>
      <c r="G16" s="2">
        <f t="shared" si="1"/>
        <v>568.03200000000004</v>
      </c>
      <c r="H16" s="8">
        <v>1</v>
      </c>
    </row>
    <row r="17" spans="1:8" ht="90" x14ac:dyDescent="0.25">
      <c r="A17" s="1" t="s">
        <v>66</v>
      </c>
      <c r="B17" s="1" t="s">
        <v>69</v>
      </c>
      <c r="C17" s="1" t="s">
        <v>78</v>
      </c>
      <c r="D17" s="1" t="s">
        <v>88</v>
      </c>
      <c r="E17" s="2">
        <v>776</v>
      </c>
      <c r="F17" s="2">
        <f t="shared" si="0"/>
        <v>946.72</v>
      </c>
      <c r="G17" s="2">
        <f t="shared" si="1"/>
        <v>568.03200000000004</v>
      </c>
      <c r="H17" s="8">
        <v>1</v>
      </c>
    </row>
    <row r="18" spans="1:8" ht="105" x14ac:dyDescent="0.25">
      <c r="A18" s="1" t="s">
        <v>3</v>
      </c>
      <c r="B18" s="1" t="s">
        <v>94</v>
      </c>
      <c r="C18" s="1" t="s">
        <v>4</v>
      </c>
      <c r="D18" s="1" t="s">
        <v>90</v>
      </c>
      <c r="E18" s="2">
        <v>2014</v>
      </c>
      <c r="F18" s="2">
        <f t="shared" si="0"/>
        <v>2457.08</v>
      </c>
      <c r="G18" s="2">
        <f t="shared" si="1"/>
        <v>1474.2479999999998</v>
      </c>
      <c r="H18" s="8">
        <v>1</v>
      </c>
    </row>
    <row r="19" spans="1:8" ht="120" x14ac:dyDescent="0.25">
      <c r="A19" s="1" t="s">
        <v>3</v>
      </c>
      <c r="B19" s="1" t="s">
        <v>93</v>
      </c>
      <c r="C19" s="1" t="s">
        <v>5</v>
      </c>
      <c r="D19" s="1" t="s">
        <v>91</v>
      </c>
      <c r="E19" s="2">
        <v>1475</v>
      </c>
      <c r="F19" s="2">
        <f t="shared" si="0"/>
        <v>1799.5</v>
      </c>
      <c r="G19" s="2">
        <f t="shared" si="1"/>
        <v>1079.7</v>
      </c>
      <c r="H19" s="8">
        <v>1</v>
      </c>
    </row>
    <row r="20" spans="1:8" ht="90" x14ac:dyDescent="0.25">
      <c r="A20" s="1" t="s">
        <v>191</v>
      </c>
      <c r="B20" s="1" t="s">
        <v>95</v>
      </c>
      <c r="C20" s="1" t="s">
        <v>54</v>
      </c>
      <c r="D20" s="1" t="s">
        <v>190</v>
      </c>
      <c r="E20" s="2">
        <v>693</v>
      </c>
      <c r="F20" s="2">
        <f t="shared" si="0"/>
        <v>845.46</v>
      </c>
      <c r="G20" s="2">
        <f t="shared" si="1"/>
        <v>507.27600000000001</v>
      </c>
      <c r="H20" s="8">
        <v>1</v>
      </c>
    </row>
    <row r="21" spans="1:8" ht="120" x14ac:dyDescent="0.25">
      <c r="A21" s="1" t="s">
        <v>6</v>
      </c>
      <c r="B21" s="1" t="s">
        <v>96</v>
      </c>
      <c r="C21" s="1" t="s">
        <v>7</v>
      </c>
      <c r="D21" s="1" t="s">
        <v>92</v>
      </c>
      <c r="E21" s="2">
        <v>579</v>
      </c>
      <c r="F21" s="2">
        <f t="shared" si="0"/>
        <v>706.38</v>
      </c>
      <c r="G21" s="2">
        <f t="shared" si="1"/>
        <v>423.82799999999997</v>
      </c>
      <c r="H21" s="8">
        <v>1</v>
      </c>
    </row>
    <row r="22" spans="1:8" ht="120" x14ac:dyDescent="0.25">
      <c r="A22" s="1" t="s">
        <v>193</v>
      </c>
      <c r="B22" s="1" t="s">
        <v>97</v>
      </c>
      <c r="C22" s="1" t="s">
        <v>8</v>
      </c>
      <c r="D22" s="1" t="s">
        <v>98</v>
      </c>
      <c r="E22" s="2">
        <v>4232</v>
      </c>
      <c r="F22" s="2">
        <f t="shared" si="0"/>
        <v>5163.04</v>
      </c>
      <c r="G22" s="2">
        <f t="shared" si="1"/>
        <v>3097.8240000000001</v>
      </c>
      <c r="H22" s="8">
        <v>1</v>
      </c>
    </row>
    <row r="23" spans="1:8" ht="90" x14ac:dyDescent="0.25">
      <c r="A23" s="1" t="s">
        <v>195</v>
      </c>
      <c r="B23" s="1" t="s">
        <v>100</v>
      </c>
      <c r="C23" s="1" t="s">
        <v>9</v>
      </c>
      <c r="D23" s="1" t="s">
        <v>99</v>
      </c>
      <c r="E23" s="2">
        <v>3376</v>
      </c>
      <c r="F23" s="2">
        <f t="shared" si="0"/>
        <v>4118.72</v>
      </c>
      <c r="G23" s="2">
        <f t="shared" si="1"/>
        <v>2471.232</v>
      </c>
      <c r="H23" s="8">
        <v>1</v>
      </c>
    </row>
    <row r="24" spans="1:8" ht="105" x14ac:dyDescent="0.25">
      <c r="A24" s="1" t="s">
        <v>194</v>
      </c>
      <c r="B24" s="1" t="s">
        <v>102</v>
      </c>
      <c r="C24" s="1" t="s">
        <v>55</v>
      </c>
      <c r="D24" s="1" t="s">
        <v>101</v>
      </c>
      <c r="E24" s="2">
        <v>3761</v>
      </c>
      <c r="F24" s="2">
        <f t="shared" si="0"/>
        <v>4588.42</v>
      </c>
      <c r="G24" s="2">
        <f t="shared" si="1"/>
        <v>2753.0520000000001</v>
      </c>
      <c r="H24" s="8">
        <v>1</v>
      </c>
    </row>
    <row r="25" spans="1:8" ht="105" x14ac:dyDescent="0.25">
      <c r="A25" s="1" t="s">
        <v>198</v>
      </c>
      <c r="B25" s="1" t="s">
        <v>103</v>
      </c>
      <c r="C25" s="1" t="s">
        <v>86</v>
      </c>
      <c r="D25" s="1" t="s">
        <v>197</v>
      </c>
      <c r="E25" s="2">
        <v>2495</v>
      </c>
      <c r="F25" s="2">
        <f t="shared" si="0"/>
        <v>3043.9</v>
      </c>
      <c r="G25" s="2">
        <f t="shared" si="1"/>
        <v>1826.34</v>
      </c>
      <c r="H25" s="8">
        <v>1</v>
      </c>
    </row>
    <row r="26" spans="1:8" ht="105" x14ac:dyDescent="0.25">
      <c r="A26" s="1" t="s">
        <v>199</v>
      </c>
      <c r="B26" s="1" t="s">
        <v>103</v>
      </c>
      <c r="C26" s="1" t="s">
        <v>202</v>
      </c>
      <c r="D26" s="1" t="s">
        <v>201</v>
      </c>
      <c r="E26" s="2">
        <v>2943</v>
      </c>
      <c r="F26" s="2">
        <f t="shared" ref="F26" si="2">E26*1.22</f>
        <v>3590.46</v>
      </c>
      <c r="G26" s="2">
        <f t="shared" ref="G26" si="3">F26*0.6</f>
        <v>2154.2759999999998</v>
      </c>
      <c r="H26" s="8">
        <v>1</v>
      </c>
    </row>
    <row r="27" spans="1:8" ht="105" x14ac:dyDescent="0.25">
      <c r="A27" s="1" t="s">
        <v>200</v>
      </c>
      <c r="B27" s="1" t="s">
        <v>103</v>
      </c>
      <c r="C27" s="1" t="s">
        <v>203</v>
      </c>
      <c r="D27" s="1" t="s">
        <v>204</v>
      </c>
      <c r="E27" s="2">
        <v>3004</v>
      </c>
      <c r="F27" s="2">
        <f t="shared" ref="F27" si="4">E27*1.22</f>
        <v>3664.88</v>
      </c>
      <c r="G27" s="2">
        <f t="shared" ref="G27" si="5">F27*0.6</f>
        <v>2198.9279999999999</v>
      </c>
      <c r="H27" s="8">
        <v>1</v>
      </c>
    </row>
    <row r="28" spans="1:8" ht="120" x14ac:dyDescent="0.25">
      <c r="A28" s="1" t="s">
        <v>196</v>
      </c>
      <c r="B28" s="1" t="s">
        <v>104</v>
      </c>
      <c r="C28" s="1" t="s">
        <v>10</v>
      </c>
      <c r="D28" s="1" t="s">
        <v>176</v>
      </c>
      <c r="E28" s="2">
        <v>1255</v>
      </c>
      <c r="F28" s="2">
        <f t="shared" si="0"/>
        <v>1531.1</v>
      </c>
      <c r="G28" s="2">
        <f t="shared" si="1"/>
        <v>918.66</v>
      </c>
      <c r="H28" s="8">
        <v>1</v>
      </c>
    </row>
    <row r="29" spans="1:8" ht="105" x14ac:dyDescent="0.25">
      <c r="A29" s="1" t="s">
        <v>61</v>
      </c>
      <c r="B29" s="1" t="s">
        <v>105</v>
      </c>
      <c r="C29" s="1" t="s">
        <v>62</v>
      </c>
      <c r="D29" s="1" t="s">
        <v>172</v>
      </c>
      <c r="E29" s="2">
        <v>468</v>
      </c>
      <c r="F29" s="2">
        <f t="shared" si="0"/>
        <v>570.96</v>
      </c>
      <c r="G29" s="2">
        <f t="shared" si="1"/>
        <v>342.57600000000002</v>
      </c>
      <c r="H29" s="8">
        <v>2</v>
      </c>
    </row>
    <row r="30" spans="1:8" ht="105" x14ac:dyDescent="0.25">
      <c r="A30" s="1" t="s">
        <v>61</v>
      </c>
      <c r="B30" s="1" t="s">
        <v>106</v>
      </c>
      <c r="C30" s="1" t="s">
        <v>63</v>
      </c>
      <c r="D30" s="1" t="s">
        <v>175</v>
      </c>
      <c r="E30" s="2">
        <v>482</v>
      </c>
      <c r="F30" s="2">
        <f t="shared" si="0"/>
        <v>588.04</v>
      </c>
      <c r="G30" s="2">
        <f t="shared" si="1"/>
        <v>352.82399999999996</v>
      </c>
      <c r="H30" s="8">
        <v>2</v>
      </c>
    </row>
    <row r="31" spans="1:8" ht="90" x14ac:dyDescent="0.25">
      <c r="A31" s="1" t="s">
        <v>61</v>
      </c>
      <c r="B31" s="1" t="s">
        <v>107</v>
      </c>
      <c r="C31" s="1" t="s">
        <v>64</v>
      </c>
      <c r="D31" s="1" t="s">
        <v>171</v>
      </c>
      <c r="E31" s="2">
        <v>563</v>
      </c>
      <c r="F31" s="2">
        <f t="shared" si="0"/>
        <v>686.86</v>
      </c>
      <c r="G31" s="2">
        <f t="shared" si="1"/>
        <v>412.11599999999999</v>
      </c>
      <c r="H31" s="8">
        <v>2</v>
      </c>
    </row>
    <row r="32" spans="1:8" ht="105" x14ac:dyDescent="0.25">
      <c r="A32" s="1" t="s">
        <v>11</v>
      </c>
      <c r="B32" s="1" t="s">
        <v>108</v>
      </c>
      <c r="C32" s="1" t="s">
        <v>82</v>
      </c>
      <c r="D32" s="1" t="s">
        <v>172</v>
      </c>
      <c r="E32" s="2">
        <v>509</v>
      </c>
      <c r="F32" s="2">
        <f t="shared" si="0"/>
        <v>620.98</v>
      </c>
      <c r="G32" s="2">
        <f t="shared" si="1"/>
        <v>372.58800000000002</v>
      </c>
      <c r="H32" s="8">
        <v>2</v>
      </c>
    </row>
    <row r="33" spans="1:8" ht="90" x14ac:dyDescent="0.25">
      <c r="A33" s="1" t="s">
        <v>11</v>
      </c>
      <c r="B33" s="1" t="s">
        <v>109</v>
      </c>
      <c r="C33" s="1" t="s">
        <v>83</v>
      </c>
      <c r="D33" s="1" t="s">
        <v>173</v>
      </c>
      <c r="E33" s="2">
        <v>617</v>
      </c>
      <c r="F33" s="2">
        <f t="shared" si="0"/>
        <v>752.74</v>
      </c>
      <c r="G33" s="2">
        <f t="shared" si="1"/>
        <v>451.64400000000001</v>
      </c>
      <c r="H33" s="8">
        <v>2</v>
      </c>
    </row>
    <row r="34" spans="1:8" ht="90" x14ac:dyDescent="0.25">
      <c r="A34" s="1" t="s">
        <v>11</v>
      </c>
      <c r="B34" s="1" t="s">
        <v>110</v>
      </c>
      <c r="C34" s="1" t="s">
        <v>12</v>
      </c>
      <c r="D34" s="1" t="s">
        <v>174</v>
      </c>
      <c r="E34" s="2">
        <v>579</v>
      </c>
      <c r="F34" s="2">
        <f t="shared" si="0"/>
        <v>706.38</v>
      </c>
      <c r="G34" s="2">
        <f t="shared" si="1"/>
        <v>423.82799999999997</v>
      </c>
      <c r="H34" s="8">
        <v>1</v>
      </c>
    </row>
    <row r="35" spans="1:8" ht="90" x14ac:dyDescent="0.25">
      <c r="A35" s="1" t="s">
        <v>11</v>
      </c>
      <c r="B35" s="1" t="s">
        <v>111</v>
      </c>
      <c r="C35" s="1" t="s">
        <v>13</v>
      </c>
      <c r="D35" s="1" t="s">
        <v>177</v>
      </c>
      <c r="E35" s="2">
        <v>703</v>
      </c>
      <c r="F35" s="2">
        <f t="shared" si="0"/>
        <v>857.66</v>
      </c>
      <c r="G35" s="2">
        <f t="shared" si="1"/>
        <v>514.596</v>
      </c>
      <c r="H35" s="8">
        <v>1</v>
      </c>
    </row>
    <row r="36" spans="1:8" ht="120" x14ac:dyDescent="0.25">
      <c r="A36" s="1" t="s">
        <v>14</v>
      </c>
      <c r="B36" s="1" t="s">
        <v>112</v>
      </c>
      <c r="C36" s="1" t="s">
        <v>56</v>
      </c>
      <c r="D36" s="1" t="s">
        <v>113</v>
      </c>
      <c r="E36" s="2">
        <v>1765</v>
      </c>
      <c r="F36" s="2">
        <f t="shared" si="0"/>
        <v>2153.2999999999997</v>
      </c>
      <c r="G36" s="2">
        <f t="shared" si="1"/>
        <v>1291.9799999999998</v>
      </c>
      <c r="H36" s="8">
        <v>1</v>
      </c>
    </row>
    <row r="37" spans="1:8" ht="120" x14ac:dyDescent="0.25">
      <c r="A37" s="1" t="s">
        <v>14</v>
      </c>
      <c r="B37" s="1" t="s">
        <v>115</v>
      </c>
      <c r="C37" s="1" t="s">
        <v>15</v>
      </c>
      <c r="D37" s="1" t="s">
        <v>114</v>
      </c>
      <c r="E37" s="2">
        <v>2115</v>
      </c>
      <c r="F37" s="2">
        <f t="shared" si="0"/>
        <v>2580.2999999999997</v>
      </c>
      <c r="G37" s="2">
        <f t="shared" si="1"/>
        <v>1548.1799999999998</v>
      </c>
      <c r="H37" s="8">
        <v>1</v>
      </c>
    </row>
    <row r="38" spans="1:8" ht="150" x14ac:dyDescent="0.25">
      <c r="A38" s="1" t="s">
        <v>16</v>
      </c>
      <c r="B38" s="1" t="s">
        <v>116</v>
      </c>
      <c r="C38" s="1" t="s">
        <v>17</v>
      </c>
      <c r="D38" s="1" t="s">
        <v>117</v>
      </c>
      <c r="E38" s="2">
        <v>698</v>
      </c>
      <c r="F38" s="2">
        <f t="shared" si="0"/>
        <v>851.56</v>
      </c>
      <c r="G38" s="2">
        <f t="shared" si="1"/>
        <v>510.93599999999992</v>
      </c>
      <c r="H38" s="8">
        <v>1</v>
      </c>
    </row>
    <row r="39" spans="1:8" ht="150" x14ac:dyDescent="0.25">
      <c r="A39" s="1" t="s">
        <v>16</v>
      </c>
      <c r="B39" s="1" t="s">
        <v>118</v>
      </c>
      <c r="C39" s="1" t="s">
        <v>18</v>
      </c>
      <c r="D39" s="1" t="s">
        <v>119</v>
      </c>
      <c r="E39" s="2">
        <v>818</v>
      </c>
      <c r="F39" s="2">
        <f t="shared" si="0"/>
        <v>997.95999999999992</v>
      </c>
      <c r="G39" s="2">
        <f t="shared" si="1"/>
        <v>598.77599999999995</v>
      </c>
      <c r="H39" s="8">
        <v>1</v>
      </c>
    </row>
    <row r="40" spans="1:8" ht="135" x14ac:dyDescent="0.25">
      <c r="A40" s="1" t="s">
        <v>16</v>
      </c>
      <c r="B40" s="1" t="s">
        <v>120</v>
      </c>
      <c r="C40" s="1" t="s">
        <v>19</v>
      </c>
      <c r="D40" s="1" t="s">
        <v>121</v>
      </c>
      <c r="E40" s="2">
        <v>538</v>
      </c>
      <c r="F40" s="2">
        <f t="shared" si="0"/>
        <v>656.36</v>
      </c>
      <c r="G40" s="2">
        <f t="shared" si="1"/>
        <v>393.81599999999997</v>
      </c>
      <c r="H40" s="8">
        <v>2</v>
      </c>
    </row>
    <row r="41" spans="1:8" ht="150" x14ac:dyDescent="0.25">
      <c r="A41" s="1" t="s">
        <v>16</v>
      </c>
      <c r="B41" s="1" t="s">
        <v>122</v>
      </c>
      <c r="C41" s="1" t="s">
        <v>20</v>
      </c>
      <c r="D41" s="1" t="s">
        <v>123</v>
      </c>
      <c r="E41" s="2">
        <v>616</v>
      </c>
      <c r="F41" s="2">
        <f t="shared" si="0"/>
        <v>751.52</v>
      </c>
      <c r="G41" s="2">
        <f t="shared" si="1"/>
        <v>450.91199999999998</v>
      </c>
      <c r="H41" s="8">
        <v>2</v>
      </c>
    </row>
    <row r="42" spans="1:8" ht="150" x14ac:dyDescent="0.25">
      <c r="A42" s="1" t="s">
        <v>16</v>
      </c>
      <c r="B42" s="1" t="s">
        <v>124</v>
      </c>
      <c r="C42" s="1" t="s">
        <v>21</v>
      </c>
      <c r="D42" s="1" t="s">
        <v>125</v>
      </c>
      <c r="E42" s="2">
        <v>843</v>
      </c>
      <c r="F42" s="2">
        <f t="shared" si="0"/>
        <v>1028.46</v>
      </c>
      <c r="G42" s="2">
        <f t="shared" si="1"/>
        <v>617.07600000000002</v>
      </c>
      <c r="H42" s="8">
        <v>1</v>
      </c>
    </row>
    <row r="43" spans="1:8" ht="150" x14ac:dyDescent="0.25">
      <c r="A43" s="1" t="s">
        <v>16</v>
      </c>
      <c r="B43" s="1" t="s">
        <v>126</v>
      </c>
      <c r="C43" s="1" t="s">
        <v>22</v>
      </c>
      <c r="D43" s="1" t="s">
        <v>127</v>
      </c>
      <c r="E43" s="2">
        <v>899</v>
      </c>
      <c r="F43" s="2">
        <f t="shared" si="0"/>
        <v>1096.78</v>
      </c>
      <c r="G43" s="2">
        <f t="shared" si="1"/>
        <v>658.06799999999998</v>
      </c>
      <c r="H43" s="8">
        <v>1</v>
      </c>
    </row>
    <row r="44" spans="1:8" ht="135" x14ac:dyDescent="0.25">
      <c r="A44" s="1" t="s">
        <v>16</v>
      </c>
      <c r="B44" s="1" t="s">
        <v>128</v>
      </c>
      <c r="C44" s="1" t="s">
        <v>57</v>
      </c>
      <c r="D44" s="1" t="s">
        <v>129</v>
      </c>
      <c r="E44" s="2">
        <v>1050</v>
      </c>
      <c r="F44" s="2">
        <f t="shared" si="0"/>
        <v>1281</v>
      </c>
      <c r="G44" s="2">
        <f t="shared" si="1"/>
        <v>768.6</v>
      </c>
      <c r="H44" s="8">
        <v>1</v>
      </c>
    </row>
    <row r="45" spans="1:8" ht="120" x14ac:dyDescent="0.25">
      <c r="A45" s="1" t="s">
        <v>23</v>
      </c>
      <c r="B45" s="1" t="s">
        <v>132</v>
      </c>
      <c r="C45" s="1" t="s">
        <v>24</v>
      </c>
      <c r="D45" s="1" t="s">
        <v>130</v>
      </c>
      <c r="E45" s="2">
        <v>1385</v>
      </c>
      <c r="F45" s="2">
        <f t="shared" si="0"/>
        <v>1689.7</v>
      </c>
      <c r="G45" s="2">
        <f t="shared" si="1"/>
        <v>1013.8199999999999</v>
      </c>
      <c r="H45" s="8">
        <v>1</v>
      </c>
    </row>
    <row r="46" spans="1:8" ht="120" x14ac:dyDescent="0.25">
      <c r="A46" s="1" t="s">
        <v>23</v>
      </c>
      <c r="B46" s="1" t="s">
        <v>133</v>
      </c>
      <c r="C46" s="1" t="s">
        <v>25</v>
      </c>
      <c r="D46" s="1" t="s">
        <v>131</v>
      </c>
      <c r="E46" s="2">
        <v>1299</v>
      </c>
      <c r="F46" s="2">
        <f t="shared" si="0"/>
        <v>1584.78</v>
      </c>
      <c r="G46" s="2">
        <f t="shared" si="1"/>
        <v>950.86799999999994</v>
      </c>
      <c r="H46" s="8">
        <v>1</v>
      </c>
    </row>
    <row r="47" spans="1:8" ht="90" x14ac:dyDescent="0.25">
      <c r="A47" s="1" t="s">
        <v>26</v>
      </c>
      <c r="B47" s="1" t="s">
        <v>134</v>
      </c>
      <c r="C47" s="1" t="s">
        <v>27</v>
      </c>
      <c r="D47" s="1" t="s">
        <v>138</v>
      </c>
      <c r="E47" s="2">
        <v>859</v>
      </c>
      <c r="F47" s="2">
        <f t="shared" si="0"/>
        <v>1047.98</v>
      </c>
      <c r="G47" s="2">
        <f t="shared" si="1"/>
        <v>628.78800000000001</v>
      </c>
      <c r="H47" s="8">
        <v>2</v>
      </c>
    </row>
    <row r="48" spans="1:8" ht="75" x14ac:dyDescent="0.25">
      <c r="A48" s="1" t="s">
        <v>28</v>
      </c>
      <c r="B48" s="1" t="s">
        <v>135</v>
      </c>
      <c r="C48" s="1" t="s">
        <v>29</v>
      </c>
      <c r="D48" s="1" t="s">
        <v>139</v>
      </c>
      <c r="E48" s="2">
        <v>801</v>
      </c>
      <c r="F48" s="2">
        <f t="shared" si="0"/>
        <v>977.22</v>
      </c>
      <c r="G48" s="2">
        <f t="shared" si="1"/>
        <v>586.33199999999999</v>
      </c>
      <c r="H48" s="8">
        <v>2</v>
      </c>
    </row>
    <row r="49" spans="1:8" ht="105" x14ac:dyDescent="0.25">
      <c r="A49" s="1" t="s">
        <v>30</v>
      </c>
      <c r="B49" s="1" t="s">
        <v>136</v>
      </c>
      <c r="C49" s="1" t="s">
        <v>31</v>
      </c>
      <c r="D49" s="1" t="s">
        <v>140</v>
      </c>
      <c r="E49" s="2">
        <v>681</v>
      </c>
      <c r="F49" s="2">
        <f t="shared" si="0"/>
        <v>830.81999999999994</v>
      </c>
      <c r="G49" s="2">
        <f t="shared" si="1"/>
        <v>498.49199999999996</v>
      </c>
      <c r="H49" s="8">
        <v>2</v>
      </c>
    </row>
    <row r="50" spans="1:8" ht="105" x14ac:dyDescent="0.25">
      <c r="A50" s="1" t="s">
        <v>30</v>
      </c>
      <c r="B50" s="1" t="s">
        <v>146</v>
      </c>
      <c r="C50" s="1" t="s">
        <v>32</v>
      </c>
      <c r="D50" s="1" t="s">
        <v>145</v>
      </c>
      <c r="E50" s="2">
        <v>897</v>
      </c>
      <c r="F50" s="2">
        <f>E50*1.22</f>
        <v>1094.3399999999999</v>
      </c>
      <c r="G50" s="2">
        <f>F50*0.6</f>
        <v>656.60399999999993</v>
      </c>
      <c r="H50" s="8">
        <v>2</v>
      </c>
    </row>
    <row r="51" spans="1:8" ht="75" x14ac:dyDescent="0.25">
      <c r="A51" s="1" t="s">
        <v>30</v>
      </c>
      <c r="B51" s="1" t="s">
        <v>141</v>
      </c>
      <c r="C51" s="1" t="s">
        <v>58</v>
      </c>
      <c r="D51" s="1" t="s">
        <v>142</v>
      </c>
      <c r="E51" s="2">
        <v>1019</v>
      </c>
      <c r="F51" s="2">
        <f t="shared" si="0"/>
        <v>1243.18</v>
      </c>
      <c r="G51" s="2">
        <f t="shared" si="1"/>
        <v>745.90800000000002</v>
      </c>
      <c r="H51" s="8">
        <v>1</v>
      </c>
    </row>
    <row r="52" spans="1:8" ht="105" x14ac:dyDescent="0.25">
      <c r="A52" s="1" t="s">
        <v>30</v>
      </c>
      <c r="B52" s="1" t="s">
        <v>144</v>
      </c>
      <c r="C52" s="1" t="s">
        <v>137</v>
      </c>
      <c r="D52" s="1" t="s">
        <v>143</v>
      </c>
      <c r="E52" s="2">
        <v>819</v>
      </c>
      <c r="F52" s="2">
        <f t="shared" si="0"/>
        <v>999.18</v>
      </c>
      <c r="G52" s="2">
        <f t="shared" si="1"/>
        <v>599.50799999999992</v>
      </c>
      <c r="H52" s="8">
        <v>1</v>
      </c>
    </row>
    <row r="53" spans="1:8" ht="105" x14ac:dyDescent="0.25">
      <c r="A53" s="1" t="s">
        <v>33</v>
      </c>
      <c r="B53" s="1" t="s">
        <v>147</v>
      </c>
      <c r="C53" s="1" t="s">
        <v>34</v>
      </c>
      <c r="D53" s="1" t="s">
        <v>153</v>
      </c>
      <c r="E53" s="2">
        <v>668</v>
      </c>
      <c r="F53" s="2">
        <f t="shared" si="0"/>
        <v>814.96</v>
      </c>
      <c r="G53" s="2">
        <f t="shared" si="1"/>
        <v>488.976</v>
      </c>
      <c r="H53" s="8">
        <v>1</v>
      </c>
    </row>
    <row r="54" spans="1:8" ht="90" x14ac:dyDescent="0.25">
      <c r="A54" s="1" t="s">
        <v>33</v>
      </c>
      <c r="B54" s="1" t="s">
        <v>148</v>
      </c>
      <c r="C54" s="1" t="s">
        <v>59</v>
      </c>
      <c r="D54" s="1" t="s">
        <v>154</v>
      </c>
      <c r="E54" s="2">
        <v>739</v>
      </c>
      <c r="F54" s="2">
        <f t="shared" si="0"/>
        <v>901.57999999999993</v>
      </c>
      <c r="G54" s="2">
        <f t="shared" si="1"/>
        <v>540.94799999999998</v>
      </c>
      <c r="H54" s="8">
        <v>1</v>
      </c>
    </row>
    <row r="55" spans="1:8" ht="90" x14ac:dyDescent="0.25">
      <c r="A55" s="1" t="s">
        <v>33</v>
      </c>
      <c r="B55" s="1" t="s">
        <v>149</v>
      </c>
      <c r="C55" s="1" t="s">
        <v>35</v>
      </c>
      <c r="D55" s="1" t="s">
        <v>155</v>
      </c>
      <c r="E55" s="2">
        <v>484</v>
      </c>
      <c r="F55" s="2">
        <f t="shared" si="0"/>
        <v>590.48</v>
      </c>
      <c r="G55" s="2">
        <f t="shared" si="1"/>
        <v>354.28800000000001</v>
      </c>
      <c r="H55" s="8">
        <v>1</v>
      </c>
    </row>
    <row r="56" spans="1:8" ht="90" x14ac:dyDescent="0.25">
      <c r="A56" s="1" t="s">
        <v>33</v>
      </c>
      <c r="B56" s="1" t="s">
        <v>150</v>
      </c>
      <c r="C56" s="1" t="s">
        <v>60</v>
      </c>
      <c r="D56" s="1" t="s">
        <v>156</v>
      </c>
      <c r="E56" s="2">
        <v>559</v>
      </c>
      <c r="F56" s="2">
        <f t="shared" si="0"/>
        <v>681.98</v>
      </c>
      <c r="G56" s="2">
        <f t="shared" si="1"/>
        <v>409.18799999999999</v>
      </c>
      <c r="H56" s="8">
        <v>1</v>
      </c>
    </row>
    <row r="57" spans="1:8" ht="105" x14ac:dyDescent="0.25">
      <c r="A57" s="1" t="s">
        <v>33</v>
      </c>
      <c r="B57" s="1" t="s">
        <v>151</v>
      </c>
      <c r="C57" s="1" t="s">
        <v>36</v>
      </c>
      <c r="D57" s="1" t="s">
        <v>153</v>
      </c>
      <c r="E57" s="2">
        <v>651</v>
      </c>
      <c r="F57" s="2">
        <f t="shared" si="0"/>
        <v>794.22</v>
      </c>
      <c r="G57" s="2">
        <f t="shared" si="1"/>
        <v>476.53199999999998</v>
      </c>
      <c r="H57" s="8">
        <v>1</v>
      </c>
    </row>
    <row r="58" spans="1:8" ht="90" x14ac:dyDescent="0.25">
      <c r="A58" s="1" t="s">
        <v>33</v>
      </c>
      <c r="B58" s="1" t="s">
        <v>152</v>
      </c>
      <c r="C58" s="1" t="s">
        <v>37</v>
      </c>
      <c r="D58" s="1" t="s">
        <v>154</v>
      </c>
      <c r="E58" s="2">
        <v>727</v>
      </c>
      <c r="F58" s="2">
        <f t="shared" si="0"/>
        <v>886.93999999999994</v>
      </c>
      <c r="G58" s="2">
        <f t="shared" si="1"/>
        <v>532.16399999999999</v>
      </c>
      <c r="H58" s="8">
        <v>1</v>
      </c>
    </row>
    <row r="59" spans="1:8" ht="75" x14ac:dyDescent="0.25">
      <c r="A59" s="1" t="s">
        <v>38</v>
      </c>
      <c r="B59" s="1" t="s">
        <v>157</v>
      </c>
      <c r="C59" s="1" t="s">
        <v>39</v>
      </c>
      <c r="D59" s="1" t="s">
        <v>166</v>
      </c>
      <c r="E59" s="2">
        <v>577</v>
      </c>
      <c r="F59" s="2">
        <f t="shared" si="0"/>
        <v>703.93999999999994</v>
      </c>
      <c r="G59" s="2">
        <f t="shared" si="1"/>
        <v>422.36399999999998</v>
      </c>
      <c r="H59" s="8">
        <v>1</v>
      </c>
    </row>
    <row r="60" spans="1:8" ht="75" x14ac:dyDescent="0.25">
      <c r="A60" s="1" t="s">
        <v>38</v>
      </c>
      <c r="B60" s="1" t="s">
        <v>158</v>
      </c>
      <c r="C60" s="1" t="s">
        <v>40</v>
      </c>
      <c r="D60" s="1" t="s">
        <v>167</v>
      </c>
      <c r="E60" s="2">
        <v>608</v>
      </c>
      <c r="F60" s="2">
        <f t="shared" si="0"/>
        <v>741.76</v>
      </c>
      <c r="G60" s="2">
        <f t="shared" si="1"/>
        <v>445.05599999999998</v>
      </c>
      <c r="H60" s="8">
        <v>1</v>
      </c>
    </row>
    <row r="61" spans="1:8" ht="75" x14ac:dyDescent="0.25">
      <c r="A61" s="1" t="s">
        <v>38</v>
      </c>
      <c r="B61" s="1" t="s">
        <v>159</v>
      </c>
      <c r="C61" s="1" t="s">
        <v>41</v>
      </c>
      <c r="D61" s="1" t="s">
        <v>168</v>
      </c>
      <c r="E61" s="2">
        <v>648</v>
      </c>
      <c r="F61" s="2">
        <f t="shared" si="0"/>
        <v>790.56</v>
      </c>
      <c r="G61" s="2">
        <f t="shared" si="1"/>
        <v>474.33599999999996</v>
      </c>
      <c r="H61" s="8">
        <v>1</v>
      </c>
    </row>
    <row r="62" spans="1:8" ht="75" x14ac:dyDescent="0.25">
      <c r="A62" s="1" t="s">
        <v>38</v>
      </c>
      <c r="B62" s="1" t="s">
        <v>161</v>
      </c>
      <c r="C62" s="1" t="s">
        <v>42</v>
      </c>
      <c r="D62" s="1" t="s">
        <v>163</v>
      </c>
      <c r="E62" s="2">
        <v>405</v>
      </c>
      <c r="F62" s="2">
        <f t="shared" si="0"/>
        <v>494.09999999999997</v>
      </c>
      <c r="G62" s="2">
        <f t="shared" si="1"/>
        <v>296.45999999999998</v>
      </c>
      <c r="H62" s="8">
        <v>1</v>
      </c>
    </row>
    <row r="63" spans="1:8" ht="75" x14ac:dyDescent="0.25">
      <c r="A63" s="1" t="s">
        <v>38</v>
      </c>
      <c r="B63" s="1" t="s">
        <v>162</v>
      </c>
      <c r="C63" s="1" t="s">
        <v>43</v>
      </c>
      <c r="D63" s="1" t="s">
        <v>164</v>
      </c>
      <c r="E63" s="2">
        <v>434</v>
      </c>
      <c r="F63" s="2">
        <f t="shared" si="0"/>
        <v>529.48</v>
      </c>
      <c r="G63" s="2">
        <f t="shared" si="1"/>
        <v>317.68799999999999</v>
      </c>
      <c r="H63" s="8">
        <v>1</v>
      </c>
    </row>
    <row r="64" spans="1:8" ht="75" x14ac:dyDescent="0.25">
      <c r="A64" s="1" t="s">
        <v>38</v>
      </c>
      <c r="B64" s="1" t="s">
        <v>160</v>
      </c>
      <c r="C64" s="1" t="s">
        <v>44</v>
      </c>
      <c r="D64" s="1" t="s">
        <v>165</v>
      </c>
      <c r="E64" s="2">
        <v>479</v>
      </c>
      <c r="F64" s="2">
        <f t="shared" si="0"/>
        <v>584.38</v>
      </c>
      <c r="G64" s="2">
        <f t="shared" si="1"/>
        <v>350.62799999999999</v>
      </c>
      <c r="H64" s="8">
        <v>1</v>
      </c>
    </row>
    <row r="65" spans="1:8" ht="105" x14ac:dyDescent="0.25">
      <c r="A65" s="1" t="s">
        <v>45</v>
      </c>
      <c r="B65" s="1" t="s">
        <v>169</v>
      </c>
      <c r="C65" s="1" t="s">
        <v>46</v>
      </c>
      <c r="D65" s="1" t="s">
        <v>170</v>
      </c>
      <c r="E65" s="2">
        <v>315</v>
      </c>
      <c r="F65" s="2">
        <f t="shared" si="0"/>
        <v>384.3</v>
      </c>
      <c r="G65" s="2">
        <f t="shared" si="1"/>
        <v>230.57999999999998</v>
      </c>
      <c r="H65" s="8">
        <v>2</v>
      </c>
    </row>
  </sheetData>
  <autoFilter ref="A1:D18" xr:uid="{93F4C79F-3D69-4D91-A534-7838FED289C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4b89b3a-ae00-4eec-a3f0-8e960c25b0ea" xsi:nil="true"/>
    <lcf76f155ced4ddcb4097134ff3c332f xmlns="b88fd82e-083d-404d-83b8-a9c5b564e665">
      <Terms xmlns="http://schemas.microsoft.com/office/infopath/2007/PartnerControls"/>
    </lcf76f155ced4ddcb4097134ff3c332f>
    <_dlc_DocId xmlns="04b89b3a-ae00-4eec-a3f0-8e960c25b0ea">UQWXVVXVRX3Q-1126183657-1893</_dlc_DocId>
    <_dlc_DocIdUrl xmlns="04b89b3a-ae00-4eec-a3f0-8e960c25b0ea">
      <Url>https://moschinigroup.sharepoint.com/sites/pfi/_layouts/15/DocIdRedir.aspx?ID=UQWXVVXVRX3Q-1126183657-1893</Url>
      <Description>UQWXVVXVRX3Q-1126183657-1893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E86311AE7E5844BA5B59FECC9F2D73A" ma:contentTypeVersion="14" ma:contentTypeDescription="Creare un nuovo documento." ma:contentTypeScope="" ma:versionID="5831a445bcfe8853b696104911a0e0b6">
  <xsd:schema xmlns:xsd="http://www.w3.org/2001/XMLSchema" xmlns:xs="http://www.w3.org/2001/XMLSchema" xmlns:p="http://schemas.microsoft.com/office/2006/metadata/properties" xmlns:ns2="04b89b3a-ae00-4eec-a3f0-8e960c25b0ea" xmlns:ns3="b88fd82e-083d-404d-83b8-a9c5b564e665" targetNamespace="http://schemas.microsoft.com/office/2006/metadata/properties" ma:root="true" ma:fieldsID="efd52f1a2f5d425e9f259c51b659db3e" ns2:_="" ns3:_="">
    <xsd:import namespace="04b89b3a-ae00-4eec-a3f0-8e960c25b0ea"/>
    <xsd:import namespace="b88fd82e-083d-404d-83b8-a9c5b564e665"/>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b89b3a-ae00-4eec-a3f0-8e960c25b0ea" elementFormDefault="qualified">
    <xsd:import namespace="http://schemas.microsoft.com/office/2006/documentManagement/types"/>
    <xsd:import namespace="http://schemas.microsoft.com/office/infopath/2007/PartnerControls"/>
    <xsd:element name="_dlc_DocId" ma:index="8" nillable="true" ma:displayName="Valore ID documento" ma:description="Valore dell'ID documento assegnato all'elemento." ma:indexed="true" ma:internalName="_dlc_DocId" ma:readOnly="true">
      <xsd:simpleType>
        <xsd:restriction base="dms:Text"/>
      </xsd:simpleType>
    </xsd:element>
    <xsd:element name="_dlc_DocIdUrl" ma:index="9"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3302dceb-b696-4fce-9cad-fe81c3a1e8dd}" ma:internalName="TaxCatchAll" ma:showField="CatchAllData" ma:web="04b89b3a-ae00-4eec-a3f0-8e960c25b0e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88fd82e-083d-404d-83b8-a9c5b564e66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cf975667-5932-4a74-9d30-87abaeac863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42D2FF9-DDBC-4962-88C1-400B6BF4CF69}">
  <ds:schemaRefs>
    <ds:schemaRef ds:uri="http://schemas.microsoft.com/sharepoint/v3/contenttype/forms"/>
  </ds:schemaRefs>
</ds:datastoreItem>
</file>

<file path=customXml/itemProps2.xml><?xml version="1.0" encoding="utf-8"?>
<ds:datastoreItem xmlns:ds="http://schemas.openxmlformats.org/officeDocument/2006/customXml" ds:itemID="{08ADC3F7-7070-4BEE-B59F-21D5F68E26A9}">
  <ds:schemaRefs>
    <ds:schemaRef ds:uri="http://schemas.microsoft.com/office/2006/metadata/properties"/>
    <ds:schemaRef ds:uri="http://schemas.microsoft.com/office/infopath/2007/PartnerControls"/>
    <ds:schemaRef ds:uri="04b89b3a-ae00-4eec-a3f0-8e960c25b0ea"/>
    <ds:schemaRef ds:uri="b88fd82e-083d-404d-83b8-a9c5b564e665"/>
  </ds:schemaRefs>
</ds:datastoreItem>
</file>

<file path=customXml/itemProps3.xml><?xml version="1.0" encoding="utf-8"?>
<ds:datastoreItem xmlns:ds="http://schemas.openxmlformats.org/officeDocument/2006/customXml" ds:itemID="{2950DDF7-5D39-4F0D-8555-54779773D7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b89b3a-ae00-4eec-a3f0-8e960c25b0ea"/>
    <ds:schemaRef ds:uri="b88fd82e-083d-404d-83b8-a9c5b564e6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46DBFA0-4314-4C90-82B3-33FA7DE5403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Zovich | GTV</dc:creator>
  <cp:lastModifiedBy>Caterina Moiso | GTV</cp:lastModifiedBy>
  <dcterms:created xsi:type="dcterms:W3CDTF">2026-04-27T11:14:31Z</dcterms:created>
  <dcterms:modified xsi:type="dcterms:W3CDTF">2026-05-12T13:55:02Z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0x0101002E86311AE7E5844BA5B59FECC9F2D73A</vt:lpwstr>
  </property>
  <property fmtid="{D5CDD505-2E9C-101B-9397-08002B2CF9AE}" pid="3" name="_dlc_DocIdItemGuid">
    <vt:lpwstr>b189ca3f-2682-40f1-91ea-4ef239c0e6b0</vt:lpwstr>
  </property>
  <property fmtid="{D5CDD505-2E9C-101B-9397-08002B2CF9AE}" pid="4" name="MediaServiceImageTags">
    <vt:lpwstr/>
  </property>
</Properties>
</file>